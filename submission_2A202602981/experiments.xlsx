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amp_fp16</t>
        </is>
      </c>
      <c r="B2" s="32" t="inlineStr">
        <is>
          <t>amp</t>
        </is>
      </c>
      <c r="C2" s="32" t="inlineStr">
        <is>
          <t>Mixed precision FP16 với GradScaler</t>
        </is>
      </c>
      <c r="D2" s="32" t="inlineStr">
        <is>
          <t>ce</t>
        </is>
      </c>
      <c r="E2" s="32" t="inlineStr">
        <is>
          <t>sgd_momentum</t>
        </is>
      </c>
      <c r="F2" s="33" t="n">
        <v>0.05</v>
      </c>
      <c r="G2" s="32" t="n">
        <v>0</v>
      </c>
      <c r="H2" s="32" t="n">
        <v>512</v>
      </c>
      <c r="I2" s="32" t="n">
        <v>20</v>
      </c>
      <c r="J2" s="32" t="inlineStr">
        <is>
          <t>[256, 128]</t>
        </is>
      </c>
      <c r="K2" s="32" t="n">
        <v>0</v>
      </c>
      <c r="L2" s="32" t="inlineStr">
        <is>
          <t>none</t>
        </is>
      </c>
      <c r="M2" s="32" t="inlineStr">
        <is>
          <t>fp16</t>
        </is>
      </c>
      <c r="N2" s="32" t="inlineStr">
        <is>
          <t>he</t>
        </is>
      </c>
      <c r="O2" s="32" t="n">
        <v>1</v>
      </c>
      <c r="P2" s="34" t="n">
        <v>2.269082231054423</v>
      </c>
      <c r="Q2" s="34" t="n">
        <v>0.2454703276355527</v>
      </c>
      <c r="R2" s="33" t="n">
        <v>18</v>
      </c>
      <c r="S2" s="34" t="n">
        <v>0.2332584405517578</v>
      </c>
      <c r="T2" s="34" t="n">
        <v>0.2520575193967864</v>
      </c>
      <c r="U2" s="34" t="n">
        <v>0.9012069447731331</v>
      </c>
      <c r="V2" s="34" t="n">
        <v>0.8371381570381027</v>
      </c>
      <c r="W2" s="33" t="n">
        <v>1.779567325115204</v>
      </c>
      <c r="X2" s="33" t="n">
        <v>165.41748046875</v>
      </c>
      <c r="Y2" s="33" t="b">
        <v>0</v>
      </c>
      <c r="Z2" s="34" t="inlineStr"/>
      <c r="AA2" s="34" t="inlineStr"/>
      <c r="AB2" s="33" t="inlineStr">
        <is>
          <t>figures/amp_fp16.png</t>
        </is>
      </c>
      <c r="AC2" s="33" t="inlineStr"/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base-s1</t>
        </is>
      </c>
      <c r="B3" s="33" t="inlineStr">
        <is>
          <t>baseline</t>
        </is>
      </c>
      <c r="C3" s="33" t="inlineStr">
        <is>
          <t>Baseline M-base (seed 1)</t>
        </is>
      </c>
      <c r="D3" s="33" t="inlineStr">
        <is>
          <t>ce</t>
        </is>
      </c>
      <c r="E3" s="33" t="inlineStr">
        <is>
          <t>sgd_momentum</t>
        </is>
      </c>
      <c r="F3" s="33" t="n">
        <v>0.1</v>
      </c>
      <c r="G3" s="33" t="n">
        <v>0</v>
      </c>
      <c r="H3" s="33" t="n">
        <v>512</v>
      </c>
      <c r="I3" s="33" t="n">
        <v>20</v>
      </c>
      <c r="J3" s="33" t="inlineStr">
        <is>
          <t>[256, 128]</t>
        </is>
      </c>
      <c r="K3" s="33" t="n">
        <v>0</v>
      </c>
      <c r="L3" s="33" t="n"/>
      <c r="M3" s="33" t="inlineStr">
        <is>
          <t>fp32</t>
        </is>
      </c>
      <c r="N3" s="33" t="inlineStr">
        <is>
          <t>he</t>
        </is>
      </c>
      <c r="O3" s="33" t="n">
        <v>1</v>
      </c>
      <c r="P3" s="34" t="n">
        <v>2.269082231054423</v>
      </c>
      <c r="Q3" s="34" t="n">
        <v>0.2393382503254858</v>
      </c>
      <c r="R3" s="33" t="n">
        <v>18</v>
      </c>
      <c r="S3" s="34" t="n">
        <v>0.2202338262939453</v>
      </c>
      <c r="T3" s="34" t="n">
        <v>0.2416486268414782</v>
      </c>
      <c r="U3" s="34" t="n">
        <v>0.9035089606505884</v>
      </c>
      <c r="V3" s="34" t="n">
        <v>0.8434375279544604</v>
      </c>
      <c r="W3" s="33" t="n">
        <v>1.345822036266327</v>
      </c>
      <c r="X3" s="33" t="n">
        <v>162.60546875</v>
      </c>
      <c r="Y3" s="33" t="b">
        <v>0</v>
      </c>
      <c r="Z3" s="34" t="inlineStr"/>
      <c r="AA3" s="34" t="inlineStr"/>
      <c r="AB3" s="33" t="inlineStr">
        <is>
          <t>figures/base-s1.png</t>
        </is>
      </c>
      <c r="AC3" s="33" t="inlineStr"/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base-s2</t>
        </is>
      </c>
      <c r="B4" s="33" t="inlineStr">
        <is>
          <t>baseline</t>
        </is>
      </c>
      <c r="C4" s="33" t="inlineStr">
        <is>
          <t>Baseline M-base (seed 2)</t>
        </is>
      </c>
      <c r="D4" s="33" t="inlineStr">
        <is>
          <t>ce</t>
        </is>
      </c>
      <c r="E4" s="33" t="inlineStr">
        <is>
          <t>sgd_momentum</t>
        </is>
      </c>
      <c r="F4" s="33" t="n">
        <v>0.1</v>
      </c>
      <c r="G4" s="33" t="n">
        <v>0</v>
      </c>
      <c r="H4" s="33" t="n">
        <v>512</v>
      </c>
      <c r="I4" s="33" t="n">
        <v>20</v>
      </c>
      <c r="J4" s="33" t="inlineStr">
        <is>
          <t>[256, 128]</t>
        </is>
      </c>
      <c r="K4" s="33" t="n">
        <v>0</v>
      </c>
      <c r="L4" s="33" t="n"/>
      <c r="M4" s="33" t="inlineStr">
        <is>
          <t>fp32</t>
        </is>
      </c>
      <c r="N4" s="33" t="inlineStr">
        <is>
          <t>he</t>
        </is>
      </c>
      <c r="O4" s="33" t="n">
        <v>2</v>
      </c>
      <c r="P4" s="34" t="n">
        <v>1.978168609258689</v>
      </c>
      <c r="Q4" s="34" t="n">
        <v>0.2246033037871405</v>
      </c>
      <c r="R4" s="33" t="n">
        <v>20</v>
      </c>
      <c r="S4" s="34" t="n">
        <v>0.2009452828979492</v>
      </c>
      <c r="T4" s="34" t="n">
        <v>0.2246033037871405</v>
      </c>
      <c r="U4" s="34" t="n">
        <v>0.9108775628751533</v>
      </c>
      <c r="V4" s="34" t="n">
        <v>0.8654031772807054</v>
      </c>
      <c r="W4" s="33" t="n">
        <v>1.328522527217865</v>
      </c>
      <c r="X4" s="33" t="n">
        <v>162.78857421875</v>
      </c>
      <c r="Y4" s="33" t="b">
        <v>0</v>
      </c>
      <c r="Z4" s="34" t="n">
        <v>0.9100711685584709</v>
      </c>
      <c r="AA4" s="34" t="n">
        <v>0.8658809348955299</v>
      </c>
      <c r="AB4" s="33" t="inlineStr">
        <is>
          <t>figures/base-s2.png</t>
        </is>
      </c>
      <c r="AC4" s="33" t="inlineStr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base-s3</t>
        </is>
      </c>
      <c r="B5" s="33" t="inlineStr">
        <is>
          <t>baseline</t>
        </is>
      </c>
      <c r="C5" s="33" t="inlineStr">
        <is>
          <t>Baseline M-base (seed 3)</t>
        </is>
      </c>
      <c r="D5" s="33" t="inlineStr">
        <is>
          <t>ce</t>
        </is>
      </c>
      <c r="E5" s="33" t="inlineStr">
        <is>
          <t>sgd_momentum</t>
        </is>
      </c>
      <c r="F5" s="33" t="n">
        <v>0.1</v>
      </c>
      <c r="G5" s="33" t="n">
        <v>0</v>
      </c>
      <c r="H5" s="33" t="n">
        <v>512</v>
      </c>
      <c r="I5" s="33" t="n">
        <v>20</v>
      </c>
      <c r="J5" s="33" t="inlineStr">
        <is>
          <t>[256, 128]</t>
        </is>
      </c>
      <c r="K5" s="33" t="n">
        <v>0</v>
      </c>
      <c r="L5" s="33" t="n"/>
      <c r="M5" s="33" t="inlineStr">
        <is>
          <t>fp32</t>
        </is>
      </c>
      <c r="N5" s="33" t="inlineStr">
        <is>
          <t>he</t>
        </is>
      </c>
      <c r="O5" s="33" t="n">
        <v>3</v>
      </c>
      <c r="P5" s="34" t="n">
        <v>1.900536097746929</v>
      </c>
      <c r="Q5" s="34" t="n">
        <v>0.2279823280078906</v>
      </c>
      <c r="R5" s="33" t="n">
        <v>20</v>
      </c>
      <c r="S5" s="34" t="n">
        <v>0.2062965203857422</v>
      </c>
      <c r="T5" s="34" t="n">
        <v>0.2279823280078906</v>
      </c>
      <c r="U5" s="34" t="n">
        <v>0.9089950732557389</v>
      </c>
      <c r="V5" s="34" t="n">
        <v>0.8505053952519372</v>
      </c>
      <c r="W5" s="33" t="n">
        <v>1.341217601299286</v>
      </c>
      <c r="X5" s="33" t="n">
        <v>162.9716796875</v>
      </c>
      <c r="Y5" s="33" t="b">
        <v>0</v>
      </c>
      <c r="Z5" s="34" t="inlineStr"/>
      <c r="AA5" s="34" t="inlineStr"/>
      <c r="AB5" s="33" t="inlineStr">
        <is>
          <t>figures/base-s3.png</t>
        </is>
      </c>
      <c r="AC5" s="33" t="inlineStr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clip_c10_highlr</t>
        </is>
      </c>
      <c r="B6" s="33" t="inlineStr">
        <is>
          <t>clipping</t>
        </is>
      </c>
      <c r="C6" s="33" t="inlineStr">
        <is>
          <t>Có Gradient Clipping c=1.0 ở lr cao (0.5)</t>
        </is>
      </c>
      <c r="D6" s="33" t="inlineStr">
        <is>
          <t>ce</t>
        </is>
      </c>
      <c r="E6" s="33" t="inlineStr">
        <is>
          <t>sgd_momentum</t>
        </is>
      </c>
      <c r="F6" s="33" t="n">
        <v>0.5</v>
      </c>
      <c r="G6" s="33" t="n">
        <v>0</v>
      </c>
      <c r="H6" s="33" t="n">
        <v>512</v>
      </c>
      <c r="I6" s="33" t="n">
        <v>20</v>
      </c>
      <c r="J6" s="33" t="inlineStr">
        <is>
          <t>[256, 128]</t>
        </is>
      </c>
      <c r="K6" s="33" t="n">
        <v>0</v>
      </c>
      <c r="L6" s="33" t="n">
        <v>1</v>
      </c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2.269082231054423</v>
      </c>
      <c r="Q6" s="34" t="n">
        <v>0.231075317149077</v>
      </c>
      <c r="R6" s="33" t="n">
        <v>18</v>
      </c>
      <c r="S6" s="34" t="n">
        <v>0.2089903713989258</v>
      </c>
      <c r="T6" s="34" t="n">
        <v>0.2386317520763692</v>
      </c>
      <c r="U6" s="34" t="n">
        <v>0.9091134011746735</v>
      </c>
      <c r="V6" s="34" t="n">
        <v>0.8517800437845011</v>
      </c>
      <c r="W6" s="33" t="n">
        <v>1.331760764122009</v>
      </c>
      <c r="X6" s="33" t="n">
        <v>165.05224609375</v>
      </c>
      <c r="Y6" s="33" t="b">
        <v>0</v>
      </c>
      <c r="Z6" s="34" t="inlineStr"/>
      <c r="AA6" s="34" t="inlineStr"/>
      <c r="AB6" s="33" t="inlineStr">
        <is>
          <t>figures/clip_c10_highlr.png</t>
        </is>
      </c>
      <c r="AC6" s="33" t="inlineStr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drop_q02</t>
        </is>
      </c>
      <c r="B7" s="33" t="inlineStr">
        <is>
          <t>dropout</t>
        </is>
      </c>
      <c r="C7" s="33" t="inlineStr">
        <is>
          <t>Dropout xác suất tắt q=0.2</t>
        </is>
      </c>
      <c r="D7" s="33" t="inlineStr">
        <is>
          <t>ce</t>
        </is>
      </c>
      <c r="E7" s="33" t="inlineStr">
        <is>
          <t>sgd_momentum</t>
        </is>
      </c>
      <c r="F7" s="33" t="n">
        <v>0.05</v>
      </c>
      <c r="G7" s="33" t="n">
        <v>0</v>
      </c>
      <c r="H7" s="33" t="n">
        <v>512</v>
      </c>
      <c r="I7" s="33" t="n">
        <v>20</v>
      </c>
      <c r="J7" s="33" t="inlineStr">
        <is>
          <t>[256, 128]</t>
        </is>
      </c>
      <c r="K7" s="33" t="n">
        <v>0.2</v>
      </c>
      <c r="L7" s="33" t="n"/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2.269082231054423</v>
      </c>
      <c r="Q7" s="34" t="n">
        <v>0.3051901953742692</v>
      </c>
      <c r="R7" s="33" t="n">
        <v>20</v>
      </c>
      <c r="S7" s="34" t="n">
        <v>0.297632587890625</v>
      </c>
      <c r="T7" s="34" t="n">
        <v>0.3051901953742692</v>
      </c>
      <c r="U7" s="34" t="n">
        <v>0.877175620145866</v>
      </c>
      <c r="V7" s="34" t="n">
        <v>0.8009569938268939</v>
      </c>
      <c r="W7" s="33" t="n">
        <v>1.420061278343201</v>
      </c>
      <c r="X7" s="33" t="n">
        <v>164.869140625</v>
      </c>
      <c r="Y7" s="33" t="b">
        <v>0</v>
      </c>
      <c r="Z7" s="34" t="inlineStr"/>
      <c r="AA7" s="34" t="inlineStr"/>
      <c r="AB7" s="33" t="inlineStr">
        <is>
          <t>figures/drop_q02.png</t>
        </is>
      </c>
      <c r="AC7" s="33" t="inlineStr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hparam_bs128</t>
        </is>
      </c>
      <c r="B8" s="33" t="inlineStr">
        <is>
          <t>hparam</t>
        </is>
      </c>
      <c r="C8" s="33" t="inlineStr">
        <is>
          <t>Batch size 128 (nhiều bước cập nhật hơn)</t>
        </is>
      </c>
      <c r="D8" s="33" t="inlineStr">
        <is>
          <t>ce</t>
        </is>
      </c>
      <c r="E8" s="33" t="inlineStr">
        <is>
          <t>sgd_momentum</t>
        </is>
      </c>
      <c r="F8" s="33" t="n">
        <v>0.05</v>
      </c>
      <c r="G8" s="33" t="n">
        <v>0</v>
      </c>
      <c r="H8" s="33" t="n">
        <v>512</v>
      </c>
      <c r="I8" s="33" t="n">
        <v>20</v>
      </c>
      <c r="J8" s="33" t="inlineStr">
        <is>
          <t>[256, 128]</t>
        </is>
      </c>
      <c r="K8" s="33" t="n">
        <v>0</v>
      </c>
      <c r="L8" s="33" t="n"/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2.269082231054423</v>
      </c>
      <c r="Q8" s="34" t="n">
        <v>0.2550338975241564</v>
      </c>
      <c r="R8" s="33" t="n">
        <v>20</v>
      </c>
      <c r="S8" s="34" t="n">
        <v>0.2358231405639648</v>
      </c>
      <c r="T8" s="34" t="n">
        <v>0.2550338975241564</v>
      </c>
      <c r="U8" s="34" t="n">
        <v>0.8966889696865386</v>
      </c>
      <c r="V8" s="34" t="n">
        <v>0.8330695145047189</v>
      </c>
      <c r="W8" s="33" t="n">
        <v>1.322950875759125</v>
      </c>
      <c r="X8" s="33" t="n">
        <v>163.88720703125</v>
      </c>
      <c r="Y8" s="33" t="b">
        <v>0</v>
      </c>
      <c r="Z8" s="34" t="inlineStr"/>
      <c r="AA8" s="34" t="inlineStr"/>
      <c r="AB8" s="33" t="inlineStr">
        <is>
          <t>figures/hparam_bs128.png</t>
        </is>
      </c>
      <c r="AC8" s="33" t="inlineStr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hparam_bs2048</t>
        </is>
      </c>
      <c r="B9" s="33" t="inlineStr">
        <is>
          <t>hparam</t>
        </is>
      </c>
      <c r="C9" s="33" t="inlineStr">
        <is>
          <t>Batch size 2048 (ít bước cập nhật hơn)</t>
        </is>
      </c>
      <c r="D9" s="33" t="inlineStr">
        <is>
          <t>ce</t>
        </is>
      </c>
      <c r="E9" s="33" t="inlineStr">
        <is>
          <t>sgd_momentum</t>
        </is>
      </c>
      <c r="F9" s="33" t="n">
        <v>0.05</v>
      </c>
      <c r="G9" s="33" t="n">
        <v>0</v>
      </c>
      <c r="H9" s="33" t="n">
        <v>512</v>
      </c>
      <c r="I9" s="33" t="n">
        <v>20</v>
      </c>
      <c r="J9" s="33" t="inlineStr">
        <is>
          <t>[256, 128]</t>
        </is>
      </c>
      <c r="K9" s="33" t="n">
        <v>0</v>
      </c>
      <c r="L9" s="33" t="n"/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2.269082231054423</v>
      </c>
      <c r="Q9" s="34" t="n">
        <v>0.2550338975241564</v>
      </c>
      <c r="R9" s="33" t="n">
        <v>20</v>
      </c>
      <c r="S9" s="34" t="n">
        <v>0.2358231405639648</v>
      </c>
      <c r="T9" s="34" t="n">
        <v>0.2550338975241564</v>
      </c>
      <c r="U9" s="34" t="n">
        <v>0.8966889696865386</v>
      </c>
      <c r="V9" s="34" t="n">
        <v>0.8330695145047189</v>
      </c>
      <c r="W9" s="33" t="n">
        <v>1.340318667888641</v>
      </c>
      <c r="X9" s="33" t="n">
        <v>164.0703125</v>
      </c>
      <c r="Y9" s="33" t="b">
        <v>0</v>
      </c>
      <c r="Z9" s="34" t="inlineStr"/>
      <c r="AA9" s="34" t="inlineStr"/>
      <c r="AB9" s="33" t="inlineStr">
        <is>
          <t>figures/hparam_bs2048.png</t>
        </is>
      </c>
      <c r="AC9" s="33" t="inlineStr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hparam_mwide</t>
        </is>
      </c>
      <c r="B10" s="33" t="inlineStr">
        <is>
          <t>hparam</t>
        </is>
      </c>
      <c r="C10" s="33" t="inlineStr">
        <is>
          <t>Kiến trúc rộng M-wide (512-256)</t>
        </is>
      </c>
      <c r="D10" s="33" t="inlineStr">
        <is>
          <t>ce</t>
        </is>
      </c>
      <c r="E10" s="33" t="inlineStr">
        <is>
          <t>sgd_momentum</t>
        </is>
      </c>
      <c r="F10" s="33" t="n">
        <v>0.05</v>
      </c>
      <c r="G10" s="33" t="n">
        <v>0</v>
      </c>
      <c r="H10" s="33" t="n">
        <v>512</v>
      </c>
      <c r="I10" s="33" t="n">
        <v>20</v>
      </c>
      <c r="J10" s="33" t="inlineStr">
        <is>
          <t>[512, 256]</t>
        </is>
      </c>
      <c r="K10" s="33" t="n">
        <v>0</v>
      </c>
      <c r="L10" s="33" t="n"/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1.918253087871254</v>
      </c>
      <c r="Q10" s="34" t="n">
        <v>0.2142068307259872</v>
      </c>
      <c r="R10" s="33" t="n">
        <v>20</v>
      </c>
      <c r="S10" s="34" t="n">
        <v>0.1889209762573242</v>
      </c>
      <c r="T10" s="34" t="n">
        <v>0.2142068307259872</v>
      </c>
      <c r="U10" s="34" t="n">
        <v>0.9147931412835352</v>
      </c>
      <c r="V10" s="34" t="n">
        <v>0.8649797784911993</v>
      </c>
      <c r="W10" s="33" t="n">
        <v>1.347029340267181</v>
      </c>
      <c r="X10" s="33" t="n">
        <v>181.10107421875</v>
      </c>
      <c r="Y10" s="33" t="b">
        <v>0</v>
      </c>
      <c r="Z10" s="34" t="inlineStr"/>
      <c r="AA10" s="34" t="inlineStr"/>
      <c r="AB10" s="33" t="inlineStr">
        <is>
          <t>figures/hparam_mwide.png</t>
        </is>
      </c>
      <c r="AC10" s="33" t="inlineStr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init_xavier</t>
        </is>
      </c>
      <c r="B11" s="33" t="inlineStr">
        <is>
          <t>init</t>
        </is>
      </c>
      <c r="C11" s="33" t="inlineStr">
        <is>
          <t>Khởi tạo Xavier / Glorot</t>
        </is>
      </c>
      <c r="D11" s="33" t="inlineStr">
        <is>
          <t>ce</t>
        </is>
      </c>
      <c r="E11" s="33" t="inlineStr">
        <is>
          <t>sgd_momentum</t>
        </is>
      </c>
      <c r="F11" s="33" t="n">
        <v>0.05</v>
      </c>
      <c r="G11" s="33" t="n">
        <v>0</v>
      </c>
      <c r="H11" s="33" t="n">
        <v>512</v>
      </c>
      <c r="I11" s="33" t="n">
        <v>20</v>
      </c>
      <c r="J11" s="33" t="inlineStr">
        <is>
          <t>[256, 128]</t>
        </is>
      </c>
      <c r="K11" s="33" t="n">
        <v>0</v>
      </c>
      <c r="L11" s="33" t="n"/>
      <c r="M11" s="33" t="inlineStr">
        <is>
          <t>fp32</t>
        </is>
      </c>
      <c r="N11" s="33" t="inlineStr">
        <is>
          <t>xavier</t>
        </is>
      </c>
      <c r="O11" s="33" t="n">
        <v>1</v>
      </c>
      <c r="P11" s="34" t="n">
        <v>2.02218017131664</v>
      </c>
      <c r="Q11" s="34" t="n">
        <v>0.2487588693151755</v>
      </c>
      <c r="R11" s="33" t="n">
        <v>19</v>
      </c>
      <c r="S11" s="34" t="n">
        <v>0.2361621823120117</v>
      </c>
      <c r="T11" s="34" t="n">
        <v>0.2548570136205687</v>
      </c>
      <c r="U11" s="34" t="n">
        <v>0.9006368193455391</v>
      </c>
      <c r="V11" s="34" t="n">
        <v>0.8388034999747166</v>
      </c>
      <c r="W11" s="33" t="n">
        <v>1.329484617710114</v>
      </c>
      <c r="X11" s="33" t="n">
        <v>165.78466796875</v>
      </c>
      <c r="Y11" s="33" t="b">
        <v>0</v>
      </c>
      <c r="Z11" s="34" t="inlineStr"/>
      <c r="AA11" s="34" t="inlineStr"/>
      <c r="AB11" s="33" t="inlineStr">
        <is>
          <t>figures/init_xavier.png</t>
        </is>
      </c>
      <c r="AC11" s="33" t="inlineStr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init_zeros</t>
        </is>
      </c>
      <c r="B12" s="33" t="inlineStr">
        <is>
          <t>init</t>
        </is>
      </c>
      <c r="C12" s="33" t="inlineStr">
        <is>
          <t>Khởi tạo trọng số bằng 0 (triệt tiêu đối xứng)</t>
        </is>
      </c>
      <c r="D12" s="33" t="inlineStr">
        <is>
          <t>ce</t>
        </is>
      </c>
      <c r="E12" s="33" t="inlineStr">
        <is>
          <t>sgd_momentum</t>
        </is>
      </c>
      <c r="F12" s="33" t="n">
        <v>0.05</v>
      </c>
      <c r="G12" s="33" t="n">
        <v>0</v>
      </c>
      <c r="H12" s="33" t="n">
        <v>512</v>
      </c>
      <c r="I12" s="33" t="n">
        <v>20</v>
      </c>
      <c r="J12" s="33" t="inlineStr">
        <is>
          <t>[256, 128]</t>
        </is>
      </c>
      <c r="K12" s="33" t="n">
        <v>0</v>
      </c>
      <c r="L12" s="33" t="n"/>
      <c r="M12" s="33" t="inlineStr">
        <is>
          <t>fp32</t>
        </is>
      </c>
      <c r="N12" s="33" t="inlineStr">
        <is>
          <t>zeros</t>
        </is>
      </c>
      <c r="O12" s="33" t="n">
        <v>1</v>
      </c>
      <c r="P12" s="34" t="n">
        <v>1.945909990859841</v>
      </c>
      <c r="Q12" s="34" t="n">
        <v>1.205181785362399</v>
      </c>
      <c r="R12" s="33" t="n">
        <v>19</v>
      </c>
      <c r="S12" s="34" t="n">
        <v>1.201824945068359</v>
      </c>
      <c r="T12" s="34" t="n">
        <v>1.205264961044231</v>
      </c>
      <c r="U12" s="34" t="n">
        <v>0.4875970826789441</v>
      </c>
      <c r="V12" s="34" t="n">
        <v>0.09364999018625454</v>
      </c>
      <c r="W12" s="33" t="n">
        <v>1.355027341842651</v>
      </c>
      <c r="X12" s="33" t="n">
        <v>165.6015625</v>
      </c>
      <c r="Y12" s="33" t="b">
        <v>0</v>
      </c>
      <c r="Z12" s="34" t="inlineStr"/>
      <c r="AA12" s="34" t="inlineStr"/>
      <c r="AB12" s="33" t="inlineStr">
        <is>
          <t>figures/init_zeros.png</t>
        </is>
      </c>
      <c r="AC12" s="33" t="inlineStr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loss_mse</t>
        </is>
      </c>
      <c r="B13" s="33" t="inlineStr">
        <is>
          <t>loss</t>
        </is>
      </c>
      <c r="C13" s="33" t="inlineStr">
        <is>
          <t>Loss MSE trên nhãn one-hot</t>
        </is>
      </c>
      <c r="D13" s="33" t="inlineStr">
        <is>
          <t>mse</t>
        </is>
      </c>
      <c r="E13" s="33" t="inlineStr">
        <is>
          <t>sgd_momentum</t>
        </is>
      </c>
      <c r="F13" s="33" t="n">
        <v>0.05</v>
      </c>
      <c r="G13" s="33" t="n">
        <v>0</v>
      </c>
      <c r="H13" s="33" t="n">
        <v>512</v>
      </c>
      <c r="I13" s="33" t="n">
        <v>20</v>
      </c>
      <c r="J13" s="33" t="inlineStr">
        <is>
          <t>[256, 128]</t>
        </is>
      </c>
      <c r="K13" s="33" t="n">
        <v>0</v>
      </c>
      <c r="L13" s="33" t="n"/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4.4510888227515</v>
      </c>
      <c r="Q13" s="34" t="n">
        <v>0.2304332432203481</v>
      </c>
      <c r="R13" s="33" t="n">
        <v>19</v>
      </c>
      <c r="S13" s="34" t="n">
        <v>0.2286991351318359</v>
      </c>
      <c r="T13" s="34" t="n">
        <v>0.2316704365132057</v>
      </c>
      <c r="U13" s="34" t="n">
        <v>0.8527462834276371</v>
      </c>
      <c r="V13" s="34" t="n">
        <v>0.6914930793961299</v>
      </c>
      <c r="W13" s="33" t="n">
        <v>1.42504575252533</v>
      </c>
      <c r="X13" s="33" t="n">
        <v>163.158203125</v>
      </c>
      <c r="Y13" s="33" t="b">
        <v>0</v>
      </c>
      <c r="Z13" s="34" t="inlineStr"/>
      <c r="AA13" s="34" t="inlineStr"/>
      <c r="AB13" s="33" t="inlineStr">
        <is>
          <t>figures/loss_mse.png</t>
        </is>
      </c>
      <c r="AC13" s="33" t="inlineStr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noclip_highlr</t>
        </is>
      </c>
      <c r="B14" s="33" t="inlineStr">
        <is>
          <t>clipping</t>
        </is>
      </c>
      <c r="C14" s="33" t="inlineStr">
        <is>
          <t>Không clipping ở lr cao (0.5) đối chứng phản chứng</t>
        </is>
      </c>
      <c r="D14" s="33" t="inlineStr">
        <is>
          <t>ce</t>
        </is>
      </c>
      <c r="E14" s="33" t="inlineStr">
        <is>
          <t>sgd_momentum</t>
        </is>
      </c>
      <c r="F14" s="33" t="n">
        <v>0.5</v>
      </c>
      <c r="G14" s="33" t="n">
        <v>0</v>
      </c>
      <c r="H14" s="33" t="n">
        <v>512</v>
      </c>
      <c r="I14" s="33" t="n">
        <v>20</v>
      </c>
      <c r="J14" s="33" t="inlineStr">
        <is>
          <t>[256, 128]</t>
        </is>
      </c>
      <c r="K14" s="33" t="n">
        <v>0</v>
      </c>
      <c r="L14" s="33" t="n"/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2.269082231054423</v>
      </c>
      <c r="Q14" s="34" t="n">
        <v>0.2507564322842432</v>
      </c>
      <c r="R14" s="33" t="n">
        <v>19</v>
      </c>
      <c r="S14" s="34" t="n">
        <v>0.2309103546142578</v>
      </c>
      <c r="T14" s="34" t="n">
        <v>0.25426870738241</v>
      </c>
      <c r="U14" s="34" t="n">
        <v>0.8992168843183236</v>
      </c>
      <c r="V14" s="34" t="n">
        <v>0.8311484919677986</v>
      </c>
      <c r="W14" s="33" t="n">
        <v>1.357681334018707</v>
      </c>
      <c r="X14" s="33" t="n">
        <v>165.2353515625</v>
      </c>
      <c r="Y14" s="33" t="b">
        <v>0</v>
      </c>
      <c r="Z14" s="34" t="inlineStr"/>
      <c r="AA14" s="34" t="inlineStr"/>
      <c r="AB14" s="33" t="inlineStr">
        <is>
          <t>figures/noclip_highlr.png</t>
        </is>
      </c>
      <c r="AC14" s="33" t="inlineStr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opt_adam_lr1e3</t>
        </is>
      </c>
      <c r="B15" s="33" t="inlineStr">
        <is>
          <t>optimizer</t>
        </is>
      </c>
      <c r="C15" s="33" t="inlineStr">
        <is>
          <t>Adam với lr=0.001</t>
        </is>
      </c>
      <c r="D15" s="33" t="inlineStr">
        <is>
          <t>ce</t>
        </is>
      </c>
      <c r="E15" s="33" t="inlineStr">
        <is>
          <t>adam</t>
        </is>
      </c>
      <c r="F15" s="33" t="n">
        <v>0.001</v>
      </c>
      <c r="G15" s="33" t="n">
        <v>0</v>
      </c>
      <c r="H15" s="33" t="n">
        <v>512</v>
      </c>
      <c r="I15" s="33" t="n">
        <v>20</v>
      </c>
      <c r="J15" s="33" t="inlineStr">
        <is>
          <t>[256, 128]</t>
        </is>
      </c>
      <c r="K15" s="33" t="n">
        <v>0</v>
      </c>
      <c r="L15" s="33" t="n"/>
      <c r="M15" s="33" t="inlineStr">
        <is>
          <t>fp32</t>
        </is>
      </c>
      <c r="N15" s="33" t="inlineStr">
        <is>
          <t>he</t>
        </is>
      </c>
      <c r="O15" s="33" t="n">
        <v>1</v>
      </c>
      <c r="P15" s="34" t="n">
        <v>2.269082231054423</v>
      </c>
      <c r="Q15" s="34" t="n">
        <v>0.2442789359874532</v>
      </c>
      <c r="R15" s="33" t="n">
        <v>18</v>
      </c>
      <c r="S15" s="34" t="n">
        <v>0.232542024230957</v>
      </c>
      <c r="T15" s="34" t="n">
        <v>0.2524478891261517</v>
      </c>
      <c r="U15" s="34" t="n">
        <v>0.9021212968739916</v>
      </c>
      <c r="V15" s="34" t="n">
        <v>0.8445559760759742</v>
      </c>
      <c r="W15" s="33" t="n">
        <v>1.46302547454834</v>
      </c>
      <c r="X15" s="33" t="n">
        <v>163.52099609375</v>
      </c>
      <c r="Y15" s="33" t="b">
        <v>0</v>
      </c>
      <c r="Z15" s="34" t="inlineStr"/>
      <c r="AA15" s="34" t="inlineStr"/>
      <c r="AB15" s="33" t="inlineStr">
        <is>
          <t>figures/opt_adam_lr1e3.png</t>
        </is>
      </c>
      <c r="AC15" s="33" t="inlineStr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opt_adam_lr3e4</t>
        </is>
      </c>
      <c r="B16" s="33" t="inlineStr">
        <is>
          <t>optimizer</t>
        </is>
      </c>
      <c r="C16" s="33" t="inlineStr">
        <is>
          <t>Adam với lr=0.0003</t>
        </is>
      </c>
      <c r="D16" s="33" t="inlineStr">
        <is>
          <t>ce</t>
        </is>
      </c>
      <c r="E16" s="33" t="inlineStr">
        <is>
          <t>adam</t>
        </is>
      </c>
      <c r="F16" s="33" t="n">
        <v>0.0003</v>
      </c>
      <c r="G16" s="33" t="n">
        <v>0</v>
      </c>
      <c r="H16" s="33" t="n">
        <v>512</v>
      </c>
      <c r="I16" s="33" t="n">
        <v>20</v>
      </c>
      <c r="J16" s="33" t="inlineStr">
        <is>
          <t>[256, 128]</t>
        </is>
      </c>
      <c r="K16" s="33" t="n">
        <v>0</v>
      </c>
      <c r="L16" s="33" t="n"/>
      <c r="M16" s="33" t="inlineStr">
        <is>
          <t>fp32</t>
        </is>
      </c>
      <c r="N16" s="33" t="inlineStr">
        <is>
          <t>he</t>
        </is>
      </c>
      <c r="O16" s="33" t="n">
        <v>1</v>
      </c>
      <c r="P16" s="34" t="n">
        <v>2.269082231054423</v>
      </c>
      <c r="Q16" s="34" t="n">
        <v>0.3126701305246028</v>
      </c>
      <c r="R16" s="33" t="n">
        <v>20</v>
      </c>
      <c r="S16" s="34" t="n">
        <v>0.3027895043945312</v>
      </c>
      <c r="T16" s="34" t="n">
        <v>0.3126701305246028</v>
      </c>
      <c r="U16" s="34" t="n">
        <v>0.8728835438136012</v>
      </c>
      <c r="V16" s="34" t="n">
        <v>0.7877586569922551</v>
      </c>
      <c r="W16" s="33" t="n">
        <v>1.510286641120911</v>
      </c>
      <c r="X16" s="33" t="n">
        <v>163.7041015625</v>
      </c>
      <c r="Y16" s="33" t="b">
        <v>0</v>
      </c>
      <c r="Z16" s="34" t="inlineStr"/>
      <c r="AA16" s="34" t="inlineStr"/>
      <c r="AB16" s="33" t="inlineStr">
        <is>
          <t>figures/opt_adam_lr3e4.png</t>
        </is>
      </c>
      <c r="AC16" s="33" t="inlineStr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opt_adamw_lr1e3</t>
        </is>
      </c>
      <c r="B17" s="33" t="inlineStr">
        <is>
          <t>optimizer</t>
        </is>
      </c>
      <c r="C17" s="33" t="inlineStr">
        <is>
          <t>AdamW với lr=0.001, weight_decay=0.01</t>
        </is>
      </c>
      <c r="D17" s="33" t="inlineStr">
        <is>
          <t>ce</t>
        </is>
      </c>
      <c r="E17" s="33" t="inlineStr">
        <is>
          <t>adamw</t>
        </is>
      </c>
      <c r="F17" s="33" t="n">
        <v>0.001</v>
      </c>
      <c r="G17" s="33" t="n">
        <v>0.01</v>
      </c>
      <c r="H17" s="33" t="n">
        <v>512</v>
      </c>
      <c r="I17" s="33" t="n">
        <v>20</v>
      </c>
      <c r="J17" s="33" t="inlineStr">
        <is>
          <t>[256, 128]</t>
        </is>
      </c>
      <c r="K17" s="33" t="n">
        <v>0</v>
      </c>
      <c r="L17" s="33" t="n"/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2.269082231054423</v>
      </c>
      <c r="Q17" s="34" t="n">
        <v>0.2486564347508088</v>
      </c>
      <c r="R17" s="33" t="n">
        <v>18</v>
      </c>
      <c r="S17" s="34" t="n">
        <v>0.2372719253540039</v>
      </c>
      <c r="T17" s="34" t="n">
        <v>0.2541110311496566</v>
      </c>
      <c r="U17" s="34" t="n">
        <v>0.9002495643381166</v>
      </c>
      <c r="V17" s="34" t="n">
        <v>0.8402569872416271</v>
      </c>
      <c r="W17" s="33" t="n">
        <v>1.466984629631042</v>
      </c>
      <c r="X17" s="33" t="n">
        <v>163.88720703125</v>
      </c>
      <c r="Y17" s="33" t="b">
        <v>0</v>
      </c>
      <c r="Z17" s="34" t="inlineStr"/>
      <c r="AA17" s="34" t="inlineStr"/>
      <c r="AB17" s="33" t="inlineStr">
        <is>
          <t>figures/opt_adamw_lr1e3.png</t>
        </is>
      </c>
      <c r="AC17" s="33" t="inlineStr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4" t="n"/>
      <c r="Q18" s="34" t="n"/>
      <c r="R18" s="33" t="n"/>
      <c r="S18" s="34" t="n"/>
      <c r="T18" s="34" t="n"/>
      <c r="U18" s="34" t="n"/>
      <c r="V18" s="34" t="n"/>
      <c r="W18" s="33" t="n"/>
      <c r="X18" s="33" t="n"/>
      <c r="Y18" s="33" t="n"/>
      <c r="Z18" s="34" t="n"/>
      <c r="AA18" s="34" t="n"/>
      <c r="AB18" s="33" t="n"/>
      <c r="AC18" s="33" t="n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  <c r="Q19" s="34" t="n"/>
      <c r="R19" s="33" t="n"/>
      <c r="S19" s="34" t="n"/>
      <c r="T19" s="34" t="n"/>
      <c r="U19" s="34" t="n"/>
      <c r="V19" s="34" t="n"/>
      <c r="W19" s="33" t="n"/>
      <c r="X19" s="33" t="n"/>
      <c r="Y19" s="33" t="n"/>
      <c r="Z19" s="34" t="n"/>
      <c r="AA19" s="34" t="n"/>
      <c r="AB19" s="33" t="n"/>
      <c r="AC19" s="33" t="n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4" t="n"/>
      <c r="Q20" s="34" t="n"/>
      <c r="R20" s="33" t="n"/>
      <c r="S20" s="34" t="n"/>
      <c r="T20" s="34" t="n"/>
      <c r="U20" s="34" t="n"/>
      <c r="V20" s="34" t="n"/>
      <c r="W20" s="33" t="n"/>
      <c r="X20" s="33" t="n"/>
      <c r="Y20" s="33" t="n"/>
      <c r="Z20" s="34" t="n"/>
      <c r="AA20" s="34" t="n"/>
      <c r="AB20" s="33" t="n"/>
      <c r="AC20" s="33" t="n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4" t="n"/>
      <c r="Q21" s="34" t="n"/>
      <c r="R21" s="33" t="n"/>
      <c r="S21" s="34" t="n"/>
      <c r="T21" s="34" t="n"/>
      <c r="U21" s="34" t="n"/>
      <c r="V21" s="34" t="n"/>
      <c r="W21" s="33" t="n"/>
      <c r="X21" s="33" t="n"/>
      <c r="Y21" s="33" t="n"/>
      <c r="Z21" s="34" t="n"/>
      <c r="AA21" s="34" t="n"/>
      <c r="AB21" s="33" t="n"/>
      <c r="AC21" s="33" t="n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4" t="n"/>
      <c r="Q22" s="34" t="n"/>
      <c r="R22" s="33" t="n"/>
      <c r="S22" s="34" t="n"/>
      <c r="T22" s="34" t="n"/>
      <c r="U22" s="34" t="n"/>
      <c r="V22" s="34" t="n"/>
      <c r="W22" s="33" t="n"/>
      <c r="X22" s="33" t="n"/>
      <c r="Y22" s="33" t="n"/>
      <c r="Z22" s="34" t="n"/>
      <c r="AA22" s="34" t="n"/>
      <c r="AB22" s="33" t="n"/>
      <c r="AC22" s="33" t="n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4" t="n"/>
      <c r="Q23" s="34" t="n"/>
      <c r="R23" s="33" t="n"/>
      <c r="S23" s="34" t="n"/>
      <c r="T23" s="34" t="n"/>
      <c r="U23" s="34" t="n"/>
      <c r="V23" s="34" t="n"/>
      <c r="W23" s="33" t="n"/>
      <c r="X23" s="33" t="n"/>
      <c r="Y23" s="33" t="n"/>
      <c r="Z23" s="34" t="n"/>
      <c r="AA23" s="34" t="n"/>
      <c r="AB23" s="33" t="n"/>
      <c r="AC23" s="33" t="n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4" t="n"/>
      <c r="Q24" s="34" t="n"/>
      <c r="R24" s="33" t="n"/>
      <c r="S24" s="34" t="n"/>
      <c r="T24" s="34" t="n"/>
      <c r="U24" s="34" t="n"/>
      <c r="V24" s="34" t="n"/>
      <c r="W24" s="33" t="n"/>
      <c r="X24" s="33" t="n"/>
      <c r="Y24" s="33" t="n"/>
      <c r="Z24" s="34" t="n"/>
      <c r="AA24" s="34" t="n"/>
      <c r="AB24" s="33" t="n"/>
      <c r="AC24" s="33" t="n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4" t="n"/>
      <c r="Q25" s="34" t="n"/>
      <c r="R25" s="33" t="n"/>
      <c r="S25" s="34" t="n"/>
      <c r="T25" s="34" t="n"/>
      <c r="U25" s="34" t="n"/>
      <c r="V25" s="34" t="n"/>
      <c r="W25" s="33" t="n"/>
      <c r="X25" s="33" t="n"/>
      <c r="Y25" s="33" t="n"/>
      <c r="Z25" s="34" t="n"/>
      <c r="AA25" s="34" t="n"/>
      <c r="AB25" s="33" t="n"/>
      <c r="AC25" s="33" t="n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base-s1</t>
        </is>
      </c>
      <c r="B4" s="35" t="n">
        <v>1</v>
      </c>
      <c r="C4" s="35" t="n">
        <v>0.9035089606505884</v>
      </c>
      <c r="D4" s="35" t="n">
        <v>0.8434375279544604</v>
      </c>
    </row>
    <row r="5" ht="15" customHeight="1" s="20">
      <c r="A5" s="33" t="inlineStr">
        <is>
          <t>base-s2</t>
        </is>
      </c>
      <c r="B5" s="35" t="n">
        <v>2</v>
      </c>
      <c r="C5" s="35" t="n">
        <v>0.9108775628751533</v>
      </c>
      <c r="D5" s="35" t="n">
        <v>0.8654031772807054</v>
      </c>
    </row>
    <row r="6" ht="15" customHeight="1" s="20">
      <c r="A6" s="33" t="inlineStr">
        <is>
          <t>base-s3</t>
        </is>
      </c>
      <c r="B6" s="35" t="n">
        <v>3</v>
      </c>
      <c r="C6" s="35" t="n">
        <v>0.9089950732557389</v>
      </c>
      <c r="D6" s="35" t="n">
        <v>0.8505053952519372</v>
      </c>
    </row>
    <row r="8" ht="15" customHeight="1" s="20">
      <c r="A8" s="36" t="inlineStr">
        <is>
          <t>Trung bình (Mean)</t>
        </is>
      </c>
      <c r="B8" s="35">
        <f>IF(COUNT(B2:B6)=0,"",AVERAGE(B2:B6))</f>
        <v/>
      </c>
      <c r="C8" s="35">
        <f>IF(COUNT(C2:C6)=0,"",AVERAGE(C2:C6))</f>
        <v/>
      </c>
      <c r="D8" s="35" t="n">
        <v>0.8531153668290342</v>
      </c>
    </row>
    <row r="9" ht="15" customHeight="1" s="20">
      <c r="A9" s="36" t="inlineStr">
        <is>
          <t>Độ lệch chuẩn (Std)</t>
        </is>
      </c>
      <c r="B9" s="35">
        <f>IF(COUNT(B2:B6)&lt;2,"",STDEV(B2:B6))</f>
        <v/>
      </c>
      <c r="C9" s="35">
        <f>IF(COUNT(C2:C6)&lt;2,"",STDEV(C2:C6))</f>
        <v/>
      </c>
      <c r="D9" s="35" t="n">
        <v>0.01121300144055252</v>
      </c>
    </row>
    <row r="10" ht="15" customHeight="1" s="20">
      <c r="A10" s="36" t="inlineStr">
        <is>
          <t>Ngưỡng nhiễu 2σ</t>
        </is>
      </c>
      <c r="B10" s="35">
        <f>IF(B9="","",2*B9)</f>
        <v/>
      </c>
      <c r="C10" s="35">
        <f>IF(C9="","",2*C9)</f>
        <v/>
      </c>
      <c r="D10" s="35" t="n">
        <v>0.02242600288110504</v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Mô hình nộp: base-s2 (sgd_momentum lr=0.1).
- Val Macro-F1: 0.8654, Val Acc: 91.09%
- Eval Macro-F1 chính thức: 0.8659, Eval Acc: 91.01%
- Ngưỡng nhiễu 2σ đo được từ 3 seed baseline: 0.0224.
- Kết luận: Mô hình vượt xa baseline và đạt mốc xuất sắc trên tập Eval.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n"/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n"/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n"/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n"/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n"/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n"/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n"/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n"/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n"/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2026-10-04T02:16:00Z</dcterms:modified>
  <cp:revision>0</cp:revision>
</cp:coreProperties>
</file>